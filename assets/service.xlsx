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HONEY\codeDir\GeoWel\assets\"/>
    </mc:Choice>
  </mc:AlternateContent>
  <xr:revisionPtr revIDLastSave="0" documentId="13_ncr:1_{9F37F32F-1D6A-4AE7-9D36-FD5433118AFD}" xr6:coauthVersionLast="47" xr6:coauthVersionMax="47" xr10:uidLastSave="{00000000-0000-0000-0000-000000000000}"/>
  <bookViews>
    <workbookView xWindow="-15060" yWindow="4050" windowWidth="12150" windowHeight="20625" firstSheet="3" activeTab="4" xr2:uid="{00000000-000D-0000-FFFF-FFFF00000000}"/>
  </bookViews>
  <sheets>
    <sheet name="1. 신청 및 연계 현황" sheetId="1" r:id="rId1"/>
    <sheet name="2. 자원 현황" sheetId="5" r:id="rId2"/>
    <sheet name="3. 퇴원환자 지원 현황" sheetId="6" r:id="rId3"/>
    <sheet name="4. 시도코드" sheetId="2" r:id="rId4"/>
    <sheet name="5. 발췌일자" sheetId="7" r:id="rId5"/>
    <sheet name="6. 자원 현황 합계" sheetId="9" r:id="rId6"/>
  </sheets>
  <definedNames>
    <definedName name="문화및여가">#REF!</definedName>
    <definedName name="보육및교육">#REF!</definedName>
    <definedName name="보호및돌봄·요양">#REF!</definedName>
    <definedName name="분류체계">#REF!</definedName>
    <definedName name="신체건강및보건의료">#REF!</definedName>
    <definedName name="안정및권익보장">#REF!</definedName>
    <definedName name="운영주체">#REF!</definedName>
    <definedName name="이관여부">#REF!</definedName>
    <definedName name="일상생활">#REF!</definedName>
    <definedName name="일자리">#REF!</definedName>
    <definedName name="자원">#REF!</definedName>
    <definedName name="정신건강및심리정서">#REF!</definedName>
    <definedName name="조사방법">#REF!</definedName>
    <definedName name="주거">#REF!</definedName>
    <definedName name="지역본부">#REF!</definedName>
    <definedName name="처리상태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20" i="5" l="1"/>
  <c r="T20" i="5"/>
  <c r="O20" i="5"/>
  <c r="I20" i="5"/>
  <c r="C20" i="5"/>
  <c r="C2" i="1"/>
  <c r="C3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E2" i="1"/>
  <c r="F2" i="1"/>
  <c r="D2" i="1"/>
</calcChain>
</file>

<file path=xl/sharedStrings.xml><?xml version="1.0" encoding="utf-8"?>
<sst xmlns="http://schemas.openxmlformats.org/spreadsheetml/2006/main" count="151" uniqueCount="93">
  <si>
    <t>시도코드</t>
    <phoneticPr fontId="2" type="noConversion"/>
  </si>
  <si>
    <t>시도명</t>
    <phoneticPr fontId="2" type="noConversion"/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</si>
  <si>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</si>
  <si>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</si>
  <si>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</si>
  <si>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</si>
  <si>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</si>
  <si>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</si>
  <si>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</si>
  <si>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경기도</t>
  </si>
  <si>
    <t>충청북도</t>
  </si>
  <si>
    <t>충청남도</t>
  </si>
  <si>
    <t>전라남도</t>
  </si>
  <si>
    <t>경상북도</t>
  </si>
  <si>
    <t>경상남도</t>
  </si>
  <si>
    <t>제주특별자치도</t>
  </si>
  <si>
    <t>세종특별자치시</t>
  </si>
  <si>
    <t>전북특별자치도</t>
  </si>
  <si>
    <t>강원특별자치도</t>
  </si>
  <si>
    <t>합계</t>
    <phoneticPr fontId="2" type="noConversion"/>
  </si>
  <si>
    <t>구분</t>
    <phoneticPr fontId="2" type="noConversion"/>
  </si>
  <si>
    <t>보건의료</t>
    <phoneticPr fontId="2" type="noConversion"/>
  </si>
  <si>
    <t>장기요양</t>
    <phoneticPr fontId="2" type="noConversion"/>
  </si>
  <si>
    <t>생활지원</t>
    <phoneticPr fontId="2" type="noConversion"/>
  </si>
  <si>
    <t>주거지원</t>
    <phoneticPr fontId="2" type="noConversion"/>
  </si>
  <si>
    <t>자체사업</t>
    <phoneticPr fontId="2" type="noConversion"/>
  </si>
  <si>
    <t>계</t>
    <phoneticPr fontId="2" type="noConversion"/>
  </si>
  <si>
    <t>방문진료</t>
    <phoneticPr fontId="2" type="noConversion"/>
  </si>
  <si>
    <t>방문간호</t>
    <phoneticPr fontId="2" type="noConversion"/>
  </si>
  <si>
    <t>방문재활</t>
    <phoneticPr fontId="2" type="noConversion"/>
  </si>
  <si>
    <t>건강관리</t>
    <phoneticPr fontId="2" type="noConversion"/>
  </si>
  <si>
    <t>기타</t>
    <phoneticPr fontId="2" type="noConversion"/>
  </si>
  <si>
    <t>방문요양</t>
    <phoneticPr fontId="2" type="noConversion"/>
  </si>
  <si>
    <t>방문목욕</t>
    <phoneticPr fontId="2" type="noConversion"/>
  </si>
  <si>
    <t>주야간보호</t>
    <phoneticPr fontId="2" type="noConversion"/>
  </si>
  <si>
    <t>단기보호</t>
    <phoneticPr fontId="2" type="noConversion"/>
  </si>
  <si>
    <t>가사지원</t>
    <phoneticPr fontId="2" type="noConversion"/>
  </si>
  <si>
    <t>이동활동</t>
    <phoneticPr fontId="2" type="noConversion"/>
  </si>
  <si>
    <t>식사지원</t>
    <phoneticPr fontId="2" type="noConversion"/>
  </si>
  <si>
    <t>주거공간</t>
    <phoneticPr fontId="2" type="noConversion"/>
  </si>
  <si>
    <t>주거지이동</t>
    <phoneticPr fontId="2" type="noConversion"/>
  </si>
  <si>
    <t>51</t>
    <phoneticPr fontId="2" type="noConversion"/>
  </si>
  <si>
    <t>시/도</t>
    <phoneticPr fontId="2" type="noConversion"/>
  </si>
  <si>
    <t>경기도</t>
    <phoneticPr fontId="2" type="noConversion"/>
  </si>
  <si>
    <t>41</t>
    <phoneticPr fontId="2" type="noConversion"/>
  </si>
  <si>
    <t>경상남도</t>
    <phoneticPr fontId="2" type="noConversion"/>
  </si>
  <si>
    <t>48</t>
    <phoneticPr fontId="2" type="noConversion"/>
  </si>
  <si>
    <t>경상북도</t>
    <phoneticPr fontId="2" type="noConversion"/>
  </si>
  <si>
    <t>47</t>
    <phoneticPr fontId="2" type="noConversion"/>
  </si>
  <si>
    <t>광주광역시</t>
    <phoneticPr fontId="2" type="noConversion"/>
  </si>
  <si>
    <t>29</t>
    <phoneticPr fontId="2" type="noConversion"/>
  </si>
  <si>
    <t>대구광역시</t>
    <phoneticPr fontId="2" type="noConversion"/>
  </si>
  <si>
    <t>27</t>
    <phoneticPr fontId="2" type="noConversion"/>
  </si>
  <si>
    <t>대전광역시</t>
    <phoneticPr fontId="2" type="noConversion"/>
  </si>
  <si>
    <t>30</t>
    <phoneticPr fontId="2" type="noConversion"/>
  </si>
  <si>
    <t>부산광역시</t>
    <phoneticPr fontId="2" type="noConversion"/>
  </si>
  <si>
    <t>26</t>
    <phoneticPr fontId="2" type="noConversion"/>
  </si>
  <si>
    <t>서울특별시</t>
    <phoneticPr fontId="2" type="noConversion"/>
  </si>
  <si>
    <t>11</t>
    <phoneticPr fontId="2" type="noConversion"/>
  </si>
  <si>
    <t>울산광역시</t>
    <phoneticPr fontId="2" type="noConversion"/>
  </si>
  <si>
    <t>인천광역시</t>
    <phoneticPr fontId="2" type="noConversion"/>
  </si>
  <si>
    <t>전라남도</t>
    <phoneticPr fontId="2" type="noConversion"/>
  </si>
  <si>
    <t>전북특별자치도</t>
    <phoneticPr fontId="2" type="noConversion"/>
  </si>
  <si>
    <t>제주특별자치도</t>
    <phoneticPr fontId="2" type="noConversion"/>
  </si>
  <si>
    <t>충청남도</t>
    <phoneticPr fontId="2" type="noConversion"/>
  </si>
  <si>
    <t>충청북도</t>
    <phoneticPr fontId="2" type="noConversion"/>
  </si>
  <si>
    <t>합계</t>
    <phoneticPr fontId="2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</si>
  <si>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</si>
  <si>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</si>
  <si>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</si>
  <si>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</si>
  <si>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</si>
  <si>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</si>
  <si>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</si>
  <si>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</si>
  <si>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충북</t>
    <phoneticPr fontId="2" type="noConversion"/>
  </si>
  <si>
    <t>충남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</si>
  <si>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</si>
  <si>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</si>
  <si>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</si>
  <si>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제주</t>
    <phoneticPr fontId="2" type="noConversion"/>
  </si>
  <si>
    <t>세종</t>
    <phoneticPr fontId="2" type="noConversion"/>
  </si>
  <si>
    <t>전북</t>
    <phoneticPr fontId="2" type="noConversion"/>
  </si>
  <si>
    <t>강원</t>
    <phoneticPr fontId="2" type="noConversion"/>
  </si>
  <si>
    <t>서비스연계율</t>
    <phoneticPr fontId="2" type="noConversion"/>
  </si>
  <si>
    <t>시트</t>
    <phoneticPr fontId="2" type="noConversion"/>
  </si>
  <si>
    <t>발췌일</t>
    <phoneticPr fontId="2" type="noConversion"/>
  </si>
  <si>
    <t>신청자</t>
    <phoneticPr fontId="2" type="noConversion"/>
  </si>
  <si>
    <t>통합판정완료</t>
    <phoneticPr fontId="2" type="noConversion"/>
  </si>
  <si>
    <t>서비스연계</t>
    <phoneticPr fontId="2" type="noConversion"/>
  </si>
  <si>
    <t>요양병원수</t>
    <phoneticPr fontId="2" type="noConversion"/>
  </si>
  <si>
    <t>관외환자입원율</t>
    <phoneticPr fontId="2" type="noConversion"/>
  </si>
  <si>
    <t>자원연계건수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</si>
</sst>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%"/>
    <numFmt numFmtId="177" formatCode="#,##0_ 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hair">
        <color auto="1"/>
      </left>
      <right style="thin">
        <color indexed="64"/>
      </right>
      <top style="double">
        <color indexed="64"/>
      </top>
      <bottom/>
      <diagonal/>
    </border>
    <border>
      <left/>
      <right style="hair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medium">
        <color indexed="64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77" fontId="5" fillId="0" borderId="18" xfId="0" applyNumberFormat="1" applyFont="1" applyFill="1" applyBorder="1" applyAlignment="1">
      <alignment horizontal="right" vertical="center"/>
    </xf>
    <xf numFmtId="177" fontId="5" fillId="0" borderId="14" xfId="0" applyNumberFormat="1" applyFont="1" applyFill="1" applyBorder="1" applyAlignment="1">
      <alignment horizontal="right" vertical="center"/>
    </xf>
    <xf numFmtId="177" fontId="5" fillId="0" borderId="21" xfId="0" applyNumberFormat="1" applyFont="1" applyFill="1" applyBorder="1" applyAlignment="1">
      <alignment horizontal="right" vertical="center"/>
    </xf>
    <xf numFmtId="177" fontId="5" fillId="0" borderId="15" xfId="0" applyNumberFormat="1" applyFont="1" applyFill="1" applyBorder="1" applyAlignment="1">
      <alignment horizontal="right" vertical="center"/>
    </xf>
    <xf numFmtId="177" fontId="5" fillId="0" borderId="12" xfId="0" applyNumberFormat="1" applyFont="1" applyFill="1" applyBorder="1">
      <alignment vertical="center"/>
    </xf>
    <xf numFmtId="177" fontId="5" fillId="0" borderId="13" xfId="0" applyNumberFormat="1" applyFont="1" applyFill="1" applyBorder="1" applyAlignment="1">
      <alignment horizontal="right" vertical="center"/>
    </xf>
    <xf numFmtId="177" fontId="5" fillId="0" borderId="6" xfId="0" applyNumberFormat="1" applyFont="1" applyFill="1" applyBorder="1">
      <alignment vertical="center"/>
    </xf>
    <xf numFmtId="177" fontId="5" fillId="0" borderId="22" xfId="0" applyNumberFormat="1" applyFont="1" applyFill="1" applyBorder="1" applyAlignment="1">
      <alignment horizontal="right" vertical="center"/>
    </xf>
    <xf numFmtId="177" fontId="5" fillId="0" borderId="12" xfId="0" applyNumberFormat="1" applyFont="1" applyFill="1" applyBorder="1" applyAlignment="1">
      <alignment horizontal="right" vertical="center"/>
    </xf>
    <xf numFmtId="177" fontId="5" fillId="0" borderId="19" xfId="0" applyNumberFormat="1" applyFont="1" applyFill="1" applyBorder="1" applyAlignment="1">
      <alignment horizontal="right" vertical="center"/>
    </xf>
    <xf numFmtId="177" fontId="5" fillId="0" borderId="6" xfId="0" applyNumberFormat="1" applyFont="1" applyFill="1" applyBorder="1" applyAlignment="1">
      <alignment horizontal="right" vertical="center"/>
    </xf>
    <xf numFmtId="177" fontId="5" fillId="0" borderId="20" xfId="0" applyNumberFormat="1" applyFont="1" applyFill="1" applyBorder="1" applyAlignment="1">
      <alignment horizontal="right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177" fontId="4" fillId="2" borderId="24" xfId="0" applyNumberFormat="1" applyFont="1" applyFill="1" applyBorder="1" applyAlignment="1">
      <alignment horizontal="center" vertical="center"/>
    </xf>
    <xf numFmtId="177" fontId="4" fillId="2" borderId="23" xfId="0" applyNumberFormat="1" applyFont="1" applyFill="1" applyBorder="1" applyAlignment="1">
      <alignment horizontal="center" vertical="center"/>
    </xf>
    <xf numFmtId="177" fontId="4" fillId="2" borderId="25" xfId="0" applyNumberFormat="1" applyFont="1" applyFill="1" applyBorder="1" applyAlignment="1">
      <alignment horizontal="center" vertical="center"/>
    </xf>
    <xf numFmtId="177" fontId="4" fillId="2" borderId="26" xfId="0" applyNumberFormat="1" applyFont="1" applyFill="1" applyBorder="1" applyAlignment="1">
      <alignment horizontal="center" vertical="center"/>
    </xf>
    <xf numFmtId="177" fontId="4" fillId="2" borderId="27" xfId="0" applyNumberFormat="1" applyFont="1" applyFill="1" applyBorder="1" applyAlignment="1">
      <alignment horizontal="center" vertical="center"/>
    </xf>
    <xf numFmtId="177" fontId="4" fillId="2" borderId="28" xfId="0" applyNumberFormat="1" applyFont="1" applyFill="1" applyBorder="1" applyAlignment="1">
      <alignment horizontal="center" vertical="center"/>
    </xf>
    <xf numFmtId="177" fontId="4" fillId="2" borderId="29" xfId="0" applyNumberFormat="1" applyFont="1" applyFill="1" applyBorder="1" applyAlignment="1">
      <alignment horizontal="center" vertical="center"/>
    </xf>
    <xf numFmtId="177" fontId="4" fillId="2" borderId="17" xfId="0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0" fontId="1" fillId="0" borderId="37" xfId="1" applyBorder="1" applyAlignment="1">
      <alignment horizontal="center" vertical="center"/>
    </xf>
    <xf numFmtId="0" fontId="1" fillId="0" borderId="38" xfId="1" applyBorder="1" applyAlignment="1">
      <alignment horizontal="center" vertical="center"/>
    </xf>
    <xf numFmtId="0" fontId="1" fillId="0" borderId="39" xfId="1" applyBorder="1" applyAlignment="1">
      <alignment horizontal="center" vertical="center"/>
    </xf>
    <xf numFmtId="0" fontId="1" fillId="0" borderId="40" xfId="1" applyBorder="1" applyAlignment="1">
      <alignment horizontal="center" vertical="center"/>
    </xf>
    <xf numFmtId="0" fontId="1" fillId="0" borderId="41" xfId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3" fillId="2" borderId="31" xfId="1" applyFont="1" applyFill="1" applyBorder="1" applyAlignment="1">
      <alignment horizontal="center" vertical="center"/>
    </xf>
    <xf numFmtId="0" fontId="3" fillId="2" borderId="33" xfId="1" applyFont="1" applyFill="1" applyBorder="1" applyAlignment="1">
      <alignment horizontal="center" vertical="center"/>
    </xf>
    <xf numFmtId="0" fontId="3" fillId="4" borderId="31" xfId="1" applyFont="1" applyFill="1" applyBorder="1" applyAlignment="1">
      <alignment horizontal="center" vertical="center"/>
    </xf>
    <xf numFmtId="0" fontId="3" fillId="4" borderId="33" xfId="1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0" borderId="36" xfId="1" applyFont="1" applyFill="1" applyBorder="1">
      <alignment vertical="center"/>
    </xf>
    <xf numFmtId="41" fontId="1" fillId="0" borderId="37" xfId="2" applyBorder="1">
      <alignment vertical="center"/>
    </xf>
    <xf numFmtId="0" fontId="3" fillId="0" borderId="38" xfId="1" applyFont="1" applyFill="1" applyBorder="1">
      <alignment vertical="center"/>
    </xf>
    <xf numFmtId="41" fontId="1" fillId="0" borderId="39" xfId="2" applyBorder="1">
      <alignment vertical="center"/>
    </xf>
    <xf numFmtId="0" fontId="3" fillId="0" borderId="40" xfId="1" applyFont="1" applyFill="1" applyBorder="1">
      <alignment vertical="center"/>
    </xf>
    <xf numFmtId="41" fontId="1" fillId="0" borderId="41" xfId="2" applyBorder="1">
      <alignment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41" fontId="3" fillId="3" borderId="7" xfId="0" applyNumberFormat="1" applyFont="1" applyFill="1" applyBorder="1">
      <alignment vertical="center"/>
    </xf>
    <xf numFmtId="41" fontId="0" fillId="0" borderId="44" xfId="2" applyFont="1" applyBorder="1">
      <alignment vertical="center"/>
    </xf>
    <xf numFmtId="41" fontId="0" fillId="0" borderId="45" xfId="2" applyFont="1" applyBorder="1">
      <alignment vertical="center"/>
    </xf>
    <xf numFmtId="41" fontId="0" fillId="0" borderId="46" xfId="2" applyFont="1" applyBorder="1">
      <alignment vertical="center"/>
    </xf>
    <xf numFmtId="0" fontId="3" fillId="5" borderId="33" xfId="0" applyFont="1" applyFill="1" applyBorder="1" applyAlignment="1">
      <alignment horizontal="center" vertical="center"/>
    </xf>
    <xf numFmtId="176" fontId="6" fillId="6" borderId="44" xfId="3" applyNumberFormat="1" applyFont="1" applyFill="1" applyBorder="1">
      <alignment vertical="center"/>
    </xf>
    <xf numFmtId="176" fontId="6" fillId="6" borderId="45" xfId="3" applyNumberFormat="1" applyFont="1" applyFill="1" applyBorder="1">
      <alignment vertical="center"/>
    </xf>
    <xf numFmtId="176" fontId="6" fillId="6" borderId="46" xfId="3" applyNumberFormat="1" applyFont="1" applyFill="1" applyBorder="1">
      <alignment vertical="center"/>
    </xf>
    <xf numFmtId="176" fontId="7" fillId="3" borderId="7" xfId="3" applyNumberFormat="1" applyFont="1" applyFill="1" applyBorder="1">
      <alignment vertical="center"/>
    </xf>
    <xf numFmtId="0" fontId="6" fillId="6" borderId="37" xfId="0" applyFont="1" applyFill="1" applyBorder="1" applyAlignment="1">
      <alignment horizontal="center" vertical="center"/>
    </xf>
    <xf numFmtId="0" fontId="6" fillId="6" borderId="39" xfId="0" applyFont="1" applyFill="1" applyBorder="1" applyAlignment="1">
      <alignment horizontal="center" vertical="center"/>
    </xf>
    <xf numFmtId="0" fontId="6" fillId="6" borderId="41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176" fontId="0" fillId="0" borderId="30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43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7" fontId="4" fillId="2" borderId="1" xfId="0" applyNumberFormat="1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19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2" borderId="4" xfId="0" applyNumberFormat="1" applyFont="1" applyFill="1" applyBorder="1" applyAlignment="1">
      <alignment horizontal="center" vertical="center"/>
    </xf>
    <xf numFmtId="177" fontId="4" fillId="2" borderId="5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7" fontId="4" fillId="2" borderId="8" xfId="0" applyNumberFormat="1" applyFont="1" applyFill="1" applyBorder="1" applyAlignment="1">
      <alignment horizontal="center" vertical="center"/>
    </xf>
    <xf numFmtId="177" fontId="4" fillId="2" borderId="9" xfId="0" applyNumberFormat="1" applyFont="1" applyFill="1" applyBorder="1" applyAlignment="1">
      <alignment horizontal="center" vertical="center"/>
    </xf>
    <xf numFmtId="177" fontId="4" fillId="2" borderId="20" xfId="0" applyNumberFormat="1" applyFont="1" applyFill="1" applyBorder="1" applyAlignment="1">
      <alignment horizontal="center" vertical="center"/>
    </xf>
    <xf numFmtId="177" fontId="4" fillId="2" borderId="6" xfId="0" applyNumberFormat="1" applyFont="1" applyFill="1" applyBorder="1" applyAlignment="1">
      <alignment horizontal="center" vertical="center"/>
    </xf>
    <xf numFmtId="177" fontId="4" fillId="2" borderId="22" xfId="0" applyNumberFormat="1" applyFont="1" applyFill="1" applyBorder="1" applyAlignment="1">
      <alignment horizontal="center" vertical="center"/>
    </xf>
    <xf numFmtId="177" fontId="4" fillId="2" borderId="15" xfId="0" applyNumberFormat="1" applyFont="1" applyFill="1" applyBorder="1" applyAlignment="1">
      <alignment horizontal="center" vertical="center"/>
    </xf>
    <xf numFmtId="0" fontId="3" fillId="5" borderId="10" xfId="1" applyFont="1" applyFill="1" applyBorder="1" applyAlignment="1">
      <alignment horizontal="center" vertical="center"/>
    </xf>
    <xf numFmtId="0" fontId="3" fillId="5" borderId="11" xfId="1" applyFont="1" applyFill="1" applyBorder="1" applyAlignment="1">
      <alignment horizontal="center" vertical="center"/>
    </xf>
    <xf numFmtId="0" fontId="3" fillId="5" borderId="34" xfId="1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77" fontId="4" fillId="2" borderId="47" xfId="0" applyNumberFormat="1" applyFont="1" applyFill="1" applyBorder="1" applyAlignment="1">
      <alignment horizontal="center" vertical="center"/>
    </xf>
    <xf numFmtId="177" fontId="4" fillId="2" borderId="48" xfId="0" applyNumberFormat="1" applyFont="1" applyFill="1" applyBorder="1" applyAlignment="1">
      <alignment horizontal="center" vertical="center"/>
    </xf>
    <xf numFmtId="177" fontId="4" fillId="2" borderId="2" xfId="0" applyNumberFormat="1" applyFont="1" applyFill="1" applyBorder="1" applyAlignment="1">
      <alignment horizontal="center" vertical="center"/>
    </xf>
  </cellXfs>
  <cellStyles count="4">
    <cellStyle name="백분율" xfId="3" builtinId="5"/>
    <cellStyle name="쉼표 [0]" xfId="2" builtinId="6"/>
    <cellStyle name="표준" xfId="0" builtinId="0"/>
    <cellStyle name="표준 5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zoomScale="85" zoomScaleNormal="85" workbookViewId="0">
      <selection activeCell="F1" sqref="F1"/>
    </sheetView>
  </sheetViews>
  <sheetFormatPr defaultRowHeight="17" x14ac:dyDescent="0.45"/>
  <cols>
    <col min="1" max="1" width="15.33203125" style="1" bestFit="1" customWidth="1"/>
    <col min="2" max="2" width="13" style="1" customWidth="1"/>
    <col min="3" max="3" width="25.75" style="1" bestFit="1" customWidth="1"/>
    <col min="4" max="6" width="15.25" customWidth="1"/>
  </cols>
  <sheetData>
    <row r="1" spans="1:6" ht="17.5" thickBot="1" x14ac:dyDescent="0.5">
      <c r="A1" s="41" t="s">
        <v>1</v>
      </c>
      <c r="B1" s="42" t="s">
        <v>0</v>
      </c>
      <c r="C1" s="54" t="s">
        <v>84</v>
      </c>
      <c r="D1" s="55" t="s">
        <v>87</v>
      </c>
      <c r="E1" s="55" t="s">
        <v>88</v>
      </c>
      <c r="F1" s="55" t="s">
        <v>89</v>
      </c>
    </row>
    <row r="2" spans="1:6" ht="17.5" thickBot="1" x14ac:dyDescent="0.5">
      <c r="A2" s="75" t="s">
        <v>19</v>
      </c>
      <c r="B2" s="76"/>
      <c r="C2" s="64">
        <f>F2/D2</f>
        <v>0.46139213143104196</v>
      </c>
      <c r="D2" s="56">
        <f>SUM(D3:D19)</f>
        <v>11565</v>
      </c>
      <c r="E2" s="56">
        <f t="shared" ref="E2:F2" si="0">SUM(E3:E19)</f>
        <v>6449</v>
      </c>
      <c r="F2" s="56">
        <f t="shared" si="0"/>
        <v>5336</v>
      </c>
    </row>
    <row r="3" spans="1:6" x14ac:dyDescent="0.45">
      <c r="A3" s="48" t="s">
        <v>67</v>
      </c>
      <c r="B3" s="49">
        <v>11</v>
      </c>
      <c r="C3" s="61">
        <f>F3/D3</f>
        <v>0.54591836734693877</v>
      </c>
      <c r="D3" s="57">
        <v>1176</v>
      </c>
      <c r="E3" s="57">
        <v>698</v>
      </c>
      <c r="F3" s="57">
        <v>642</v>
      </c>
    </row>
    <row r="4" spans="1:6" x14ac:dyDescent="0.45">
      <c r="A4" s="50" t="s">
        <v>68</v>
      </c>
      <c r="B4" s="51">
        <v>26</v>
      </c>
      <c r="C4" s="62">
        <f t="shared" ref="C4:C19" si="1">F4/D4</f>
        <v>0.54379562043795615</v>
      </c>
      <c r="D4" s="58">
        <v>274</v>
      </c>
      <c r="E4" s="58">
        <v>172</v>
      </c>
      <c r="F4" s="58">
        <v>149</v>
      </c>
    </row>
    <row r="5" spans="1:6" x14ac:dyDescent="0.45">
      <c r="A5" s="50" t="s">
        <v>69</v>
      </c>
      <c r="B5" s="51">
        <v>27</v>
      </c>
      <c r="C5" s="62">
        <f t="shared" si="1"/>
        <v>0.5821917808219178</v>
      </c>
      <c r="D5" s="58">
        <v>146</v>
      </c>
      <c r="E5" s="58">
        <v>83</v>
      </c>
      <c r="F5" s="58">
        <v>85</v>
      </c>
    </row>
    <row r="6" spans="1:6" x14ac:dyDescent="0.45">
      <c r="A6" s="50" t="s">
        <v>70</v>
      </c>
      <c r="B6" s="51">
        <v>28</v>
      </c>
      <c r="C6" s="62">
        <f t="shared" si="1"/>
        <v>0.29957805907172996</v>
      </c>
      <c r="D6" s="58">
        <v>237</v>
      </c>
      <c r="E6" s="58">
        <v>83</v>
      </c>
      <c r="F6" s="58">
        <v>71</v>
      </c>
    </row>
    <row r="7" spans="1:6" x14ac:dyDescent="0.45">
      <c r="A7" s="50" t="s">
        <v>71</v>
      </c>
      <c r="B7" s="51">
        <v>29</v>
      </c>
      <c r="C7" s="62">
        <f t="shared" si="1"/>
        <v>0.26596491228070174</v>
      </c>
      <c r="D7" s="58">
        <v>1425</v>
      </c>
      <c r="E7" s="58">
        <v>450</v>
      </c>
      <c r="F7" s="58">
        <v>379</v>
      </c>
    </row>
    <row r="8" spans="1:6" x14ac:dyDescent="0.45">
      <c r="A8" s="50" t="s">
        <v>72</v>
      </c>
      <c r="B8" s="51">
        <v>30</v>
      </c>
      <c r="C8" s="62">
        <f t="shared" si="1"/>
        <v>0.39095744680851063</v>
      </c>
      <c r="D8" s="58">
        <v>752</v>
      </c>
      <c r="E8" s="58">
        <v>487</v>
      </c>
      <c r="F8" s="58">
        <v>294</v>
      </c>
    </row>
    <row r="9" spans="1:6" x14ac:dyDescent="0.45">
      <c r="A9" s="50" t="s">
        <v>73</v>
      </c>
      <c r="B9" s="51">
        <v>31</v>
      </c>
      <c r="C9" s="62">
        <f t="shared" si="1"/>
        <v>0.56097560975609762</v>
      </c>
      <c r="D9" s="58">
        <v>41</v>
      </c>
      <c r="E9" s="58">
        <v>26</v>
      </c>
      <c r="F9" s="58">
        <v>23</v>
      </c>
    </row>
    <row r="10" spans="1:6" x14ac:dyDescent="0.45">
      <c r="A10" s="50" t="s">
        <v>74</v>
      </c>
      <c r="B10" s="51">
        <v>41</v>
      </c>
      <c r="C10" s="62">
        <f t="shared" si="1"/>
        <v>0.60934891485809684</v>
      </c>
      <c r="D10" s="58">
        <v>1797</v>
      </c>
      <c r="E10" s="58">
        <v>1278</v>
      </c>
      <c r="F10" s="58">
        <v>1095</v>
      </c>
    </row>
    <row r="11" spans="1:6" x14ac:dyDescent="0.45">
      <c r="A11" s="50" t="s">
        <v>75</v>
      </c>
      <c r="B11" s="51">
        <v>43</v>
      </c>
      <c r="C11" s="62">
        <f t="shared" si="1"/>
        <v>0.41212871287128711</v>
      </c>
      <c r="D11" s="58">
        <v>808</v>
      </c>
      <c r="E11" s="58">
        <v>479</v>
      </c>
      <c r="F11" s="58">
        <v>333</v>
      </c>
    </row>
    <row r="12" spans="1:6" x14ac:dyDescent="0.45">
      <c r="A12" s="50" t="s">
        <v>76</v>
      </c>
      <c r="B12" s="51">
        <v>44</v>
      </c>
      <c r="C12" s="62">
        <f t="shared" si="1"/>
        <v>0.14358974358974358</v>
      </c>
      <c r="D12" s="58">
        <v>780</v>
      </c>
      <c r="E12" s="58">
        <v>439</v>
      </c>
      <c r="F12" s="58">
        <v>112</v>
      </c>
    </row>
    <row r="13" spans="1:6" x14ac:dyDescent="0.45">
      <c r="A13" s="50" t="s">
        <v>77</v>
      </c>
      <c r="B13" s="51">
        <v>46</v>
      </c>
      <c r="C13" s="62">
        <f t="shared" si="1"/>
        <v>0.63779527559055116</v>
      </c>
      <c r="D13" s="58">
        <v>1016</v>
      </c>
      <c r="E13" s="58">
        <v>572</v>
      </c>
      <c r="F13" s="58">
        <v>648</v>
      </c>
    </row>
    <row r="14" spans="1:6" x14ac:dyDescent="0.45">
      <c r="A14" s="50" t="s">
        <v>78</v>
      </c>
      <c r="B14" s="51">
        <v>47</v>
      </c>
      <c r="C14" s="62">
        <f t="shared" si="1"/>
        <v>0.3544921875</v>
      </c>
      <c r="D14" s="58">
        <v>1024</v>
      </c>
      <c r="E14" s="58">
        <v>454</v>
      </c>
      <c r="F14" s="58">
        <v>363</v>
      </c>
    </row>
    <row r="15" spans="1:6" x14ac:dyDescent="0.45">
      <c r="A15" s="50" t="s">
        <v>79</v>
      </c>
      <c r="B15" s="51">
        <v>48</v>
      </c>
      <c r="C15" s="62">
        <f t="shared" si="1"/>
        <v>0.48514851485148514</v>
      </c>
      <c r="D15" s="58">
        <v>606</v>
      </c>
      <c r="E15" s="58">
        <v>451</v>
      </c>
      <c r="F15" s="58">
        <v>294</v>
      </c>
    </row>
    <row r="16" spans="1:6" x14ac:dyDescent="0.45">
      <c r="A16" s="50" t="s">
        <v>80</v>
      </c>
      <c r="B16" s="51">
        <v>50</v>
      </c>
      <c r="C16" s="62">
        <f t="shared" si="1"/>
        <v>0.47191011235955055</v>
      </c>
      <c r="D16" s="58">
        <v>89</v>
      </c>
      <c r="E16" s="58">
        <v>45</v>
      </c>
      <c r="F16" s="58">
        <v>42</v>
      </c>
    </row>
    <row r="17" spans="1:6" x14ac:dyDescent="0.45">
      <c r="A17" s="50" t="s">
        <v>81</v>
      </c>
      <c r="B17" s="51">
        <v>36</v>
      </c>
      <c r="C17" s="62">
        <f t="shared" si="1"/>
        <v>7.8947368421052627E-2</v>
      </c>
      <c r="D17" s="58">
        <v>38</v>
      </c>
      <c r="E17" s="58">
        <v>30</v>
      </c>
      <c r="F17" s="58">
        <v>3</v>
      </c>
    </row>
    <row r="18" spans="1:6" x14ac:dyDescent="0.45">
      <c r="A18" s="50" t="s">
        <v>82</v>
      </c>
      <c r="B18" s="51">
        <v>52</v>
      </c>
      <c r="C18" s="62">
        <f t="shared" si="1"/>
        <v>0.67574578469520108</v>
      </c>
      <c r="D18" s="58">
        <v>771</v>
      </c>
      <c r="E18" s="58">
        <v>405</v>
      </c>
      <c r="F18" s="58">
        <v>521</v>
      </c>
    </row>
    <row r="19" spans="1:6" ht="17.5" thickBot="1" x14ac:dyDescent="0.5">
      <c r="A19" s="52" t="s">
        <v>83</v>
      </c>
      <c r="B19" s="53">
        <v>51</v>
      </c>
      <c r="C19" s="63">
        <f t="shared" si="1"/>
        <v>0.48205128205128206</v>
      </c>
      <c r="D19" s="59">
        <v>585</v>
      </c>
      <c r="E19" s="59">
        <v>297</v>
      </c>
      <c r="F19" s="59">
        <v>282</v>
      </c>
    </row>
    <row r="21" spans="1:6" x14ac:dyDescent="0.45">
      <c r="A21" s="77"/>
      <c r="B21" s="77"/>
      <c r="C21" s="77"/>
      <c r="D21" s="77"/>
      <c r="E21" s="77"/>
      <c r="F21" s="77"/>
    </row>
  </sheetData>
  <mergeCells count="2">
    <mergeCell ref="A2:B2"/>
    <mergeCell ref="A21:F21"/>
  </mergeCells>
  <phoneticPr fontId="2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0"/>
  <sheetViews>
    <sheetView topLeftCell="D4" workbookViewId="0">
      <selection activeCell="W20" sqref="W20"/>
    </sheetView>
  </sheetViews>
  <sheetFormatPr defaultRowHeight="17" x14ac:dyDescent="0.45"/>
  <cols>
    <col min="1" max="1" width="12.25" customWidth="1"/>
  </cols>
  <sheetData>
    <row r="1" spans="1:24" ht="17.5" thickBot="1" x14ac:dyDescent="0.5">
      <c r="A1" s="80" t="s">
        <v>20</v>
      </c>
      <c r="B1" s="81"/>
      <c r="C1" s="82" t="s">
        <v>21</v>
      </c>
      <c r="D1" s="83"/>
      <c r="E1" s="83"/>
      <c r="F1" s="83"/>
      <c r="G1" s="83"/>
      <c r="H1" s="84"/>
      <c r="I1" s="85" t="s">
        <v>22</v>
      </c>
      <c r="J1" s="86"/>
      <c r="K1" s="86"/>
      <c r="L1" s="86"/>
      <c r="M1" s="86"/>
      <c r="N1" s="87"/>
      <c r="O1" s="85" t="s">
        <v>23</v>
      </c>
      <c r="P1" s="86"/>
      <c r="Q1" s="86"/>
      <c r="R1" s="86"/>
      <c r="S1" s="87"/>
      <c r="T1" s="85" t="s">
        <v>24</v>
      </c>
      <c r="U1" s="86"/>
      <c r="V1" s="87"/>
      <c r="W1" s="78" t="s">
        <v>25</v>
      </c>
      <c r="X1" s="79"/>
    </row>
    <row r="2" spans="1:24" ht="18" thickTop="1" thickBot="1" x14ac:dyDescent="0.5">
      <c r="A2" s="22" t="s">
        <v>42</v>
      </c>
      <c r="B2" s="23" t="s">
        <v>0</v>
      </c>
      <c r="C2" s="24" t="s">
        <v>26</v>
      </c>
      <c r="D2" s="25" t="s">
        <v>27</v>
      </c>
      <c r="E2" s="25" t="s">
        <v>28</v>
      </c>
      <c r="F2" s="25" t="s">
        <v>29</v>
      </c>
      <c r="G2" s="25" t="s">
        <v>30</v>
      </c>
      <c r="H2" s="26" t="s">
        <v>31</v>
      </c>
      <c r="I2" s="27" t="s">
        <v>26</v>
      </c>
      <c r="J2" s="28" t="s">
        <v>32</v>
      </c>
      <c r="K2" s="28" t="s">
        <v>28</v>
      </c>
      <c r="L2" s="28" t="s">
        <v>33</v>
      </c>
      <c r="M2" s="28" t="s">
        <v>34</v>
      </c>
      <c r="N2" s="29" t="s">
        <v>35</v>
      </c>
      <c r="O2" s="27" t="s">
        <v>26</v>
      </c>
      <c r="P2" s="28" t="s">
        <v>36</v>
      </c>
      <c r="Q2" s="28" t="s">
        <v>37</v>
      </c>
      <c r="R2" s="28" t="s">
        <v>38</v>
      </c>
      <c r="S2" s="29" t="s">
        <v>31</v>
      </c>
      <c r="T2" s="27" t="s">
        <v>26</v>
      </c>
      <c r="U2" s="28" t="s">
        <v>39</v>
      </c>
      <c r="V2" s="29" t="s">
        <v>40</v>
      </c>
      <c r="W2" s="30" t="s">
        <v>26</v>
      </c>
      <c r="X2" s="31" t="s">
        <v>31</v>
      </c>
    </row>
    <row r="3" spans="1:24" ht="17.5" thickBot="1" x14ac:dyDescent="0.5">
      <c r="A3" s="5" t="s">
        <v>18</v>
      </c>
      <c r="B3" s="8" t="s">
        <v>41</v>
      </c>
      <c r="C3" s="18">
        <v>680</v>
      </c>
      <c r="D3" s="10">
        <v>123</v>
      </c>
      <c r="E3" s="10">
        <v>13</v>
      </c>
      <c r="F3" s="10">
        <v>8</v>
      </c>
      <c r="G3" s="10">
        <v>461</v>
      </c>
      <c r="H3" s="19">
        <v>75</v>
      </c>
      <c r="I3" s="18">
        <v>1167</v>
      </c>
      <c r="J3" s="10">
        <v>565</v>
      </c>
      <c r="K3" s="10">
        <v>41</v>
      </c>
      <c r="L3" s="10">
        <v>283</v>
      </c>
      <c r="M3" s="10">
        <v>181</v>
      </c>
      <c r="N3" s="19">
        <v>97</v>
      </c>
      <c r="O3" s="18">
        <v>530</v>
      </c>
      <c r="P3" s="10">
        <v>82</v>
      </c>
      <c r="Q3" s="10">
        <v>104</v>
      </c>
      <c r="R3" s="10">
        <v>129</v>
      </c>
      <c r="S3" s="19">
        <v>215</v>
      </c>
      <c r="T3" s="18">
        <v>102</v>
      </c>
      <c r="U3" s="10">
        <v>88</v>
      </c>
      <c r="V3" s="19">
        <v>14</v>
      </c>
      <c r="W3" s="10">
        <v>122</v>
      </c>
      <c r="X3" s="11">
        <v>122</v>
      </c>
    </row>
    <row r="4" spans="1:24" ht="17.5" thickBot="1" x14ac:dyDescent="0.5">
      <c r="A4" s="9" t="s">
        <v>43</v>
      </c>
      <c r="B4" s="7" t="s">
        <v>44</v>
      </c>
      <c r="C4" s="20">
        <v>3087</v>
      </c>
      <c r="D4" s="12">
        <v>865</v>
      </c>
      <c r="E4" s="12">
        <v>52</v>
      </c>
      <c r="F4" s="12">
        <v>56</v>
      </c>
      <c r="G4" s="12">
        <v>1967</v>
      </c>
      <c r="H4" s="21">
        <v>147</v>
      </c>
      <c r="I4" s="20">
        <v>8854</v>
      </c>
      <c r="J4" s="12">
        <v>4087</v>
      </c>
      <c r="K4" s="12">
        <v>203</v>
      </c>
      <c r="L4" s="12">
        <v>2746</v>
      </c>
      <c r="M4" s="12">
        <v>1174</v>
      </c>
      <c r="N4" s="21">
        <v>644</v>
      </c>
      <c r="O4" s="20">
        <v>1642</v>
      </c>
      <c r="P4" s="12">
        <v>391</v>
      </c>
      <c r="Q4" s="12">
        <v>473</v>
      </c>
      <c r="R4" s="12">
        <v>273</v>
      </c>
      <c r="S4" s="21">
        <v>505</v>
      </c>
      <c r="T4" s="20">
        <v>240</v>
      </c>
      <c r="U4" s="12">
        <v>188</v>
      </c>
      <c r="V4" s="21">
        <v>52</v>
      </c>
      <c r="W4" s="12">
        <v>346</v>
      </c>
      <c r="X4" s="13">
        <v>346</v>
      </c>
    </row>
    <row r="5" spans="1:24" ht="17.5" thickBot="1" x14ac:dyDescent="0.5">
      <c r="A5" s="9" t="s">
        <v>45</v>
      </c>
      <c r="B5" s="7" t="s">
        <v>46</v>
      </c>
      <c r="C5" s="20">
        <v>720</v>
      </c>
      <c r="D5" s="12">
        <v>208</v>
      </c>
      <c r="E5" s="12">
        <v>13</v>
      </c>
      <c r="F5" s="12">
        <v>16</v>
      </c>
      <c r="G5" s="12">
        <v>439</v>
      </c>
      <c r="H5" s="21">
        <v>44</v>
      </c>
      <c r="I5" s="20">
        <v>3257</v>
      </c>
      <c r="J5" s="12">
        <v>1655</v>
      </c>
      <c r="K5" s="12">
        <v>52</v>
      </c>
      <c r="L5" s="12">
        <v>926</v>
      </c>
      <c r="M5" s="12">
        <v>439</v>
      </c>
      <c r="N5" s="21">
        <v>185</v>
      </c>
      <c r="O5" s="20">
        <v>431</v>
      </c>
      <c r="P5" s="12">
        <v>107</v>
      </c>
      <c r="Q5" s="12">
        <v>97</v>
      </c>
      <c r="R5" s="12">
        <v>73</v>
      </c>
      <c r="S5" s="21">
        <v>154</v>
      </c>
      <c r="T5" s="20">
        <v>81</v>
      </c>
      <c r="U5" s="12">
        <v>70</v>
      </c>
      <c r="V5" s="21">
        <v>11</v>
      </c>
      <c r="W5" s="12">
        <v>102</v>
      </c>
      <c r="X5" s="13">
        <v>102</v>
      </c>
    </row>
    <row r="6" spans="1:24" ht="17.5" thickBot="1" x14ac:dyDescent="0.5">
      <c r="A6" s="9" t="s">
        <v>47</v>
      </c>
      <c r="B6" s="7" t="s">
        <v>48</v>
      </c>
      <c r="C6" s="20">
        <v>551</v>
      </c>
      <c r="D6" s="12">
        <v>155</v>
      </c>
      <c r="E6" s="12">
        <v>19</v>
      </c>
      <c r="F6" s="12">
        <v>7</v>
      </c>
      <c r="G6" s="12">
        <v>316</v>
      </c>
      <c r="H6" s="21">
        <v>54</v>
      </c>
      <c r="I6" s="20">
        <v>2662</v>
      </c>
      <c r="J6" s="12">
        <v>1413</v>
      </c>
      <c r="K6" s="12">
        <v>39</v>
      </c>
      <c r="L6" s="12">
        <v>584</v>
      </c>
      <c r="M6" s="12">
        <v>483</v>
      </c>
      <c r="N6" s="21">
        <v>143</v>
      </c>
      <c r="O6" s="20">
        <v>421</v>
      </c>
      <c r="P6" s="12">
        <v>61</v>
      </c>
      <c r="Q6" s="12">
        <v>110</v>
      </c>
      <c r="R6" s="12">
        <v>91</v>
      </c>
      <c r="S6" s="21">
        <v>159</v>
      </c>
      <c r="T6" s="20">
        <v>71</v>
      </c>
      <c r="U6" s="12">
        <v>67</v>
      </c>
      <c r="V6" s="21">
        <v>4</v>
      </c>
      <c r="W6" s="12">
        <v>200</v>
      </c>
      <c r="X6" s="13">
        <v>200</v>
      </c>
    </row>
    <row r="7" spans="1:24" ht="17.5" thickBot="1" x14ac:dyDescent="0.5">
      <c r="A7" s="9" t="s">
        <v>49</v>
      </c>
      <c r="B7" s="7" t="s">
        <v>50</v>
      </c>
      <c r="C7" s="20">
        <v>495</v>
      </c>
      <c r="D7" s="12">
        <v>170</v>
      </c>
      <c r="E7" s="12">
        <v>8</v>
      </c>
      <c r="F7" s="12">
        <v>12</v>
      </c>
      <c r="G7" s="12">
        <v>274</v>
      </c>
      <c r="H7" s="21">
        <v>31</v>
      </c>
      <c r="I7" s="20">
        <v>1436</v>
      </c>
      <c r="J7" s="12">
        <v>712</v>
      </c>
      <c r="K7" s="12">
        <v>40</v>
      </c>
      <c r="L7" s="12">
        <v>366</v>
      </c>
      <c r="M7" s="12">
        <v>163</v>
      </c>
      <c r="N7" s="21">
        <v>155</v>
      </c>
      <c r="O7" s="20">
        <v>162</v>
      </c>
      <c r="P7" s="12">
        <v>20</v>
      </c>
      <c r="Q7" s="12">
        <v>46</v>
      </c>
      <c r="R7" s="12">
        <v>23</v>
      </c>
      <c r="S7" s="21">
        <v>73</v>
      </c>
      <c r="T7" s="20">
        <v>37</v>
      </c>
      <c r="U7" s="12">
        <v>23</v>
      </c>
      <c r="V7" s="21">
        <v>14</v>
      </c>
      <c r="W7" s="12">
        <v>45</v>
      </c>
      <c r="X7" s="13">
        <v>45</v>
      </c>
    </row>
    <row r="8" spans="1:24" ht="17.5" thickBot="1" x14ac:dyDescent="0.5">
      <c r="A8" s="9" t="s">
        <v>51</v>
      </c>
      <c r="B8" s="7" t="s">
        <v>52</v>
      </c>
      <c r="C8" s="20">
        <v>614</v>
      </c>
      <c r="D8" s="12">
        <v>182</v>
      </c>
      <c r="E8" s="12">
        <v>6</v>
      </c>
      <c r="F8" s="12">
        <v>2</v>
      </c>
      <c r="G8" s="12">
        <v>408</v>
      </c>
      <c r="H8" s="21">
        <v>16</v>
      </c>
      <c r="I8" s="20">
        <v>2148</v>
      </c>
      <c r="J8" s="12">
        <v>1242</v>
      </c>
      <c r="K8" s="12">
        <v>28</v>
      </c>
      <c r="L8" s="12">
        <v>400</v>
      </c>
      <c r="M8" s="12">
        <v>362</v>
      </c>
      <c r="N8" s="21">
        <v>116</v>
      </c>
      <c r="O8" s="20">
        <v>381</v>
      </c>
      <c r="P8" s="12">
        <v>78</v>
      </c>
      <c r="Q8" s="12">
        <v>43</v>
      </c>
      <c r="R8" s="12">
        <v>87</v>
      </c>
      <c r="S8" s="21">
        <v>173</v>
      </c>
      <c r="T8" s="20">
        <v>59</v>
      </c>
      <c r="U8" s="12">
        <v>47</v>
      </c>
      <c r="V8" s="21">
        <v>12</v>
      </c>
      <c r="W8" s="12">
        <v>102</v>
      </c>
      <c r="X8" s="13">
        <v>102</v>
      </c>
    </row>
    <row r="9" spans="1:24" ht="17.5" thickBot="1" x14ac:dyDescent="0.5">
      <c r="A9" s="9" t="s">
        <v>53</v>
      </c>
      <c r="B9" s="7" t="s">
        <v>54</v>
      </c>
      <c r="C9" s="20">
        <v>504</v>
      </c>
      <c r="D9" s="12">
        <v>208</v>
      </c>
      <c r="E9" s="12">
        <v>4</v>
      </c>
      <c r="F9" s="12">
        <v>4</v>
      </c>
      <c r="G9" s="12">
        <v>260</v>
      </c>
      <c r="H9" s="21">
        <v>28</v>
      </c>
      <c r="I9" s="20">
        <v>1390</v>
      </c>
      <c r="J9" s="12">
        <v>613</v>
      </c>
      <c r="K9" s="12">
        <v>45</v>
      </c>
      <c r="L9" s="12">
        <v>407</v>
      </c>
      <c r="M9" s="12">
        <v>165</v>
      </c>
      <c r="N9" s="21">
        <v>160</v>
      </c>
      <c r="O9" s="20">
        <v>153</v>
      </c>
      <c r="P9" s="12">
        <v>31</v>
      </c>
      <c r="Q9" s="12">
        <v>27</v>
      </c>
      <c r="R9" s="12">
        <v>34</v>
      </c>
      <c r="S9" s="21">
        <v>61</v>
      </c>
      <c r="T9" s="20">
        <v>23</v>
      </c>
      <c r="U9" s="12">
        <v>15</v>
      </c>
      <c r="V9" s="21">
        <v>8</v>
      </c>
      <c r="W9" s="12">
        <v>79</v>
      </c>
      <c r="X9" s="13">
        <v>79</v>
      </c>
    </row>
    <row r="10" spans="1:24" ht="17.5" thickBot="1" x14ac:dyDescent="0.5">
      <c r="A10" s="9" t="s">
        <v>55</v>
      </c>
      <c r="B10" s="7" t="s">
        <v>56</v>
      </c>
      <c r="C10" s="20">
        <v>891</v>
      </c>
      <c r="D10" s="12">
        <v>210</v>
      </c>
      <c r="E10" s="12">
        <v>18</v>
      </c>
      <c r="F10" s="12">
        <v>8</v>
      </c>
      <c r="G10" s="12">
        <v>607</v>
      </c>
      <c r="H10" s="21">
        <v>48</v>
      </c>
      <c r="I10" s="20">
        <v>2467</v>
      </c>
      <c r="J10" s="12">
        <v>1287</v>
      </c>
      <c r="K10" s="12">
        <v>54</v>
      </c>
      <c r="L10" s="12">
        <v>668</v>
      </c>
      <c r="M10" s="12">
        <v>278</v>
      </c>
      <c r="N10" s="21">
        <v>180</v>
      </c>
      <c r="O10" s="20">
        <v>364</v>
      </c>
      <c r="P10" s="12">
        <v>93</v>
      </c>
      <c r="Q10" s="12">
        <v>35</v>
      </c>
      <c r="R10" s="12">
        <v>119</v>
      </c>
      <c r="S10" s="21">
        <v>117</v>
      </c>
      <c r="T10" s="20">
        <v>54</v>
      </c>
      <c r="U10" s="12">
        <v>46</v>
      </c>
      <c r="V10" s="21">
        <v>8</v>
      </c>
      <c r="W10" s="12">
        <v>173</v>
      </c>
      <c r="X10" s="13">
        <v>173</v>
      </c>
    </row>
    <row r="11" spans="1:24" ht="17.5" thickBot="1" x14ac:dyDescent="0.5">
      <c r="A11" s="5" t="s">
        <v>57</v>
      </c>
      <c r="B11" s="8" t="s">
        <v>58</v>
      </c>
      <c r="C11" s="20">
        <v>3376</v>
      </c>
      <c r="D11" s="12">
        <v>1058</v>
      </c>
      <c r="E11" s="12">
        <v>52</v>
      </c>
      <c r="F11" s="12">
        <v>58</v>
      </c>
      <c r="G11" s="12">
        <v>2077</v>
      </c>
      <c r="H11" s="21">
        <v>131</v>
      </c>
      <c r="I11" s="20">
        <v>5695</v>
      </c>
      <c r="J11" s="12">
        <v>2809</v>
      </c>
      <c r="K11" s="12">
        <v>151</v>
      </c>
      <c r="L11" s="12">
        <v>1933</v>
      </c>
      <c r="M11" s="12">
        <v>546</v>
      </c>
      <c r="N11" s="21">
        <v>256</v>
      </c>
      <c r="O11" s="20">
        <v>1518</v>
      </c>
      <c r="P11" s="12">
        <v>435</v>
      </c>
      <c r="Q11" s="12">
        <v>356</v>
      </c>
      <c r="R11" s="12">
        <v>304</v>
      </c>
      <c r="S11" s="21">
        <v>423</v>
      </c>
      <c r="T11" s="20">
        <v>238</v>
      </c>
      <c r="U11" s="12">
        <v>179</v>
      </c>
      <c r="V11" s="21">
        <v>59</v>
      </c>
      <c r="W11" s="12">
        <v>313</v>
      </c>
      <c r="X11" s="13">
        <v>313</v>
      </c>
    </row>
    <row r="12" spans="1:24" ht="17.5" thickBot="1" x14ac:dyDescent="0.5">
      <c r="A12" s="5" t="s">
        <v>16</v>
      </c>
      <c r="B12" s="6">
        <v>36</v>
      </c>
      <c r="C12" s="14">
        <v>71</v>
      </c>
      <c r="D12" s="15">
        <v>40</v>
      </c>
      <c r="E12" s="15">
        <v>0</v>
      </c>
      <c r="F12" s="15">
        <v>0</v>
      </c>
      <c r="G12" s="15">
        <v>30</v>
      </c>
      <c r="H12" s="11">
        <v>1</v>
      </c>
      <c r="I12" s="18">
        <v>130</v>
      </c>
      <c r="J12" s="15">
        <v>60</v>
      </c>
      <c r="K12" s="15">
        <v>4</v>
      </c>
      <c r="L12" s="15">
        <v>29</v>
      </c>
      <c r="M12" s="15">
        <v>23</v>
      </c>
      <c r="N12" s="11">
        <v>14</v>
      </c>
      <c r="O12" s="18">
        <v>20</v>
      </c>
      <c r="P12" s="15">
        <v>4</v>
      </c>
      <c r="Q12" s="15">
        <v>11</v>
      </c>
      <c r="R12" s="15">
        <v>4</v>
      </c>
      <c r="S12" s="11">
        <v>1</v>
      </c>
      <c r="T12" s="18">
        <v>4</v>
      </c>
      <c r="U12" s="15">
        <v>4</v>
      </c>
      <c r="V12" s="11">
        <v>0</v>
      </c>
      <c r="W12" s="10">
        <v>8</v>
      </c>
      <c r="X12" s="11">
        <v>8</v>
      </c>
    </row>
    <row r="13" spans="1:24" ht="17.5" thickBot="1" x14ac:dyDescent="0.5">
      <c r="A13" s="9" t="s">
        <v>59</v>
      </c>
      <c r="B13" s="4">
        <v>31</v>
      </c>
      <c r="C13" s="16">
        <v>162</v>
      </c>
      <c r="D13" s="17">
        <v>0</v>
      </c>
      <c r="E13" s="17">
        <v>3</v>
      </c>
      <c r="F13" s="17">
        <v>9</v>
      </c>
      <c r="G13" s="17">
        <v>137</v>
      </c>
      <c r="H13" s="13">
        <v>13</v>
      </c>
      <c r="I13" s="20">
        <v>780</v>
      </c>
      <c r="J13" s="17">
        <v>323</v>
      </c>
      <c r="K13" s="17">
        <v>19</v>
      </c>
      <c r="L13" s="17">
        <v>171</v>
      </c>
      <c r="M13" s="17">
        <v>156</v>
      </c>
      <c r="N13" s="13">
        <v>111</v>
      </c>
      <c r="O13" s="20">
        <v>75</v>
      </c>
      <c r="P13" s="17">
        <v>19</v>
      </c>
      <c r="Q13" s="17">
        <v>6</v>
      </c>
      <c r="R13" s="17">
        <v>16</v>
      </c>
      <c r="S13" s="13">
        <v>34</v>
      </c>
      <c r="T13" s="20">
        <v>21</v>
      </c>
      <c r="U13" s="17">
        <v>13</v>
      </c>
      <c r="V13" s="13">
        <v>8</v>
      </c>
      <c r="W13" s="12">
        <v>30</v>
      </c>
      <c r="X13" s="13">
        <v>30</v>
      </c>
    </row>
    <row r="14" spans="1:24" ht="17.5" thickBot="1" x14ac:dyDescent="0.5">
      <c r="A14" s="9" t="s">
        <v>60</v>
      </c>
      <c r="B14" s="4">
        <v>28</v>
      </c>
      <c r="C14" s="16">
        <v>700</v>
      </c>
      <c r="D14" s="17">
        <v>132</v>
      </c>
      <c r="E14" s="17">
        <v>5</v>
      </c>
      <c r="F14" s="17">
        <v>4</v>
      </c>
      <c r="G14" s="17">
        <v>527</v>
      </c>
      <c r="H14" s="13">
        <v>32</v>
      </c>
      <c r="I14" s="20">
        <v>2558</v>
      </c>
      <c r="J14" s="17">
        <v>1287</v>
      </c>
      <c r="K14" s="17">
        <v>63</v>
      </c>
      <c r="L14" s="17">
        <v>871</v>
      </c>
      <c r="M14" s="17">
        <v>261</v>
      </c>
      <c r="N14" s="13">
        <v>76</v>
      </c>
      <c r="O14" s="20">
        <v>347</v>
      </c>
      <c r="P14" s="17">
        <v>66</v>
      </c>
      <c r="Q14" s="17">
        <v>28</v>
      </c>
      <c r="R14" s="17">
        <v>110</v>
      </c>
      <c r="S14" s="13">
        <v>143</v>
      </c>
      <c r="T14" s="20">
        <v>53</v>
      </c>
      <c r="U14" s="17">
        <v>39</v>
      </c>
      <c r="V14" s="13">
        <v>14</v>
      </c>
      <c r="W14" s="12">
        <v>69</v>
      </c>
      <c r="X14" s="13">
        <v>69</v>
      </c>
    </row>
    <row r="15" spans="1:24" ht="17.5" thickBot="1" x14ac:dyDescent="0.5">
      <c r="A15" s="9" t="s">
        <v>61</v>
      </c>
      <c r="B15" s="4">
        <v>46</v>
      </c>
      <c r="C15" s="16">
        <v>705</v>
      </c>
      <c r="D15" s="17">
        <v>82</v>
      </c>
      <c r="E15" s="17">
        <v>17</v>
      </c>
      <c r="F15" s="17">
        <v>10</v>
      </c>
      <c r="G15" s="17">
        <v>501</v>
      </c>
      <c r="H15" s="13">
        <v>95</v>
      </c>
      <c r="I15" s="20">
        <v>2080</v>
      </c>
      <c r="J15" s="17">
        <v>984</v>
      </c>
      <c r="K15" s="17">
        <v>36</v>
      </c>
      <c r="L15" s="17">
        <v>570</v>
      </c>
      <c r="M15" s="17">
        <v>309</v>
      </c>
      <c r="N15" s="13">
        <v>181</v>
      </c>
      <c r="O15" s="20">
        <v>437</v>
      </c>
      <c r="P15" s="17">
        <v>81</v>
      </c>
      <c r="Q15" s="17">
        <v>81</v>
      </c>
      <c r="R15" s="17">
        <v>113</v>
      </c>
      <c r="S15" s="13">
        <v>162</v>
      </c>
      <c r="T15" s="20">
        <v>127</v>
      </c>
      <c r="U15" s="17">
        <v>115</v>
      </c>
      <c r="V15" s="13">
        <v>12</v>
      </c>
      <c r="W15" s="12">
        <v>195</v>
      </c>
      <c r="X15" s="13">
        <v>195</v>
      </c>
    </row>
    <row r="16" spans="1:24" ht="17.5" thickBot="1" x14ac:dyDescent="0.5">
      <c r="A16" s="9" t="s">
        <v>62</v>
      </c>
      <c r="B16" s="4">
        <v>52</v>
      </c>
      <c r="C16" s="16">
        <v>714</v>
      </c>
      <c r="D16" s="17">
        <v>234</v>
      </c>
      <c r="E16" s="17">
        <v>17</v>
      </c>
      <c r="F16" s="17">
        <v>10</v>
      </c>
      <c r="G16" s="17">
        <v>395</v>
      </c>
      <c r="H16" s="13">
        <v>58</v>
      </c>
      <c r="I16" s="20">
        <v>2243</v>
      </c>
      <c r="J16" s="17">
        <v>949</v>
      </c>
      <c r="K16" s="17">
        <v>57</v>
      </c>
      <c r="L16" s="17">
        <v>678</v>
      </c>
      <c r="M16" s="17">
        <v>371</v>
      </c>
      <c r="N16" s="13">
        <v>188</v>
      </c>
      <c r="O16" s="20">
        <v>376</v>
      </c>
      <c r="P16" s="17">
        <v>42</v>
      </c>
      <c r="Q16" s="17">
        <v>95</v>
      </c>
      <c r="R16" s="17">
        <v>91</v>
      </c>
      <c r="S16" s="13">
        <v>148</v>
      </c>
      <c r="T16" s="20">
        <v>91</v>
      </c>
      <c r="U16" s="17">
        <v>85</v>
      </c>
      <c r="V16" s="13">
        <v>6</v>
      </c>
      <c r="W16" s="12">
        <v>153</v>
      </c>
      <c r="X16" s="13">
        <v>153</v>
      </c>
    </row>
    <row r="17" spans="1:24" ht="17.5" thickBot="1" x14ac:dyDescent="0.5">
      <c r="A17" s="9" t="s">
        <v>63</v>
      </c>
      <c r="B17" s="4">
        <v>50</v>
      </c>
      <c r="C17" s="16">
        <v>138</v>
      </c>
      <c r="D17" s="17">
        <v>44</v>
      </c>
      <c r="E17" s="17">
        <v>0</v>
      </c>
      <c r="F17" s="17">
        <v>6</v>
      </c>
      <c r="G17" s="17">
        <v>57</v>
      </c>
      <c r="H17" s="13">
        <v>31</v>
      </c>
      <c r="I17" s="20">
        <v>375</v>
      </c>
      <c r="J17" s="17">
        <v>149</v>
      </c>
      <c r="K17" s="17">
        <v>13</v>
      </c>
      <c r="L17" s="17">
        <v>99</v>
      </c>
      <c r="M17" s="17">
        <v>77</v>
      </c>
      <c r="N17" s="13">
        <v>37</v>
      </c>
      <c r="O17" s="20">
        <v>151</v>
      </c>
      <c r="P17" s="17">
        <v>25</v>
      </c>
      <c r="Q17" s="17">
        <v>12</v>
      </c>
      <c r="R17" s="17">
        <v>34</v>
      </c>
      <c r="S17" s="13">
        <v>80</v>
      </c>
      <c r="T17" s="20">
        <v>30</v>
      </c>
      <c r="U17" s="17">
        <v>23</v>
      </c>
      <c r="V17" s="13">
        <v>7</v>
      </c>
      <c r="W17" s="12">
        <v>10</v>
      </c>
      <c r="X17" s="13">
        <v>10</v>
      </c>
    </row>
    <row r="18" spans="1:24" ht="17.5" thickBot="1" x14ac:dyDescent="0.5">
      <c r="A18" s="5" t="s">
        <v>64</v>
      </c>
      <c r="B18" s="6">
        <v>44</v>
      </c>
      <c r="C18" s="14">
        <v>614</v>
      </c>
      <c r="D18" s="15">
        <v>220</v>
      </c>
      <c r="E18" s="15">
        <v>13</v>
      </c>
      <c r="F18" s="15">
        <v>12</v>
      </c>
      <c r="G18" s="15">
        <v>326</v>
      </c>
      <c r="H18" s="11">
        <v>43</v>
      </c>
      <c r="I18" s="18">
        <v>2076</v>
      </c>
      <c r="J18" s="15">
        <v>1021</v>
      </c>
      <c r="K18" s="15">
        <v>48</v>
      </c>
      <c r="L18" s="15">
        <v>548</v>
      </c>
      <c r="M18" s="15">
        <v>345</v>
      </c>
      <c r="N18" s="11">
        <v>114</v>
      </c>
      <c r="O18" s="18">
        <v>310</v>
      </c>
      <c r="P18" s="15">
        <v>66</v>
      </c>
      <c r="Q18" s="15">
        <v>68</v>
      </c>
      <c r="R18" s="15">
        <v>50</v>
      </c>
      <c r="S18" s="11">
        <v>126</v>
      </c>
      <c r="T18" s="18">
        <v>47</v>
      </c>
      <c r="U18" s="15">
        <v>40</v>
      </c>
      <c r="V18" s="11">
        <v>7</v>
      </c>
      <c r="W18" s="10">
        <v>77</v>
      </c>
      <c r="X18" s="11">
        <v>77</v>
      </c>
    </row>
    <row r="19" spans="1:24" ht="17.5" thickBot="1" x14ac:dyDescent="0.5">
      <c r="A19" s="5" t="s">
        <v>65</v>
      </c>
      <c r="B19" s="6">
        <v>43</v>
      </c>
      <c r="C19" s="14">
        <v>452</v>
      </c>
      <c r="D19" s="15">
        <v>115</v>
      </c>
      <c r="E19" s="15">
        <v>15</v>
      </c>
      <c r="F19" s="15">
        <v>9</v>
      </c>
      <c r="G19" s="15">
        <v>253</v>
      </c>
      <c r="H19" s="11">
        <v>60</v>
      </c>
      <c r="I19" s="18">
        <v>1219</v>
      </c>
      <c r="J19" s="15">
        <v>563</v>
      </c>
      <c r="K19" s="15">
        <v>22</v>
      </c>
      <c r="L19" s="15">
        <v>219</v>
      </c>
      <c r="M19" s="15">
        <v>273</v>
      </c>
      <c r="N19" s="11">
        <v>142</v>
      </c>
      <c r="O19" s="18">
        <v>331</v>
      </c>
      <c r="P19" s="15">
        <v>42</v>
      </c>
      <c r="Q19" s="15">
        <v>96</v>
      </c>
      <c r="R19" s="15">
        <v>105</v>
      </c>
      <c r="S19" s="11">
        <v>88</v>
      </c>
      <c r="T19" s="18">
        <v>56</v>
      </c>
      <c r="U19" s="15">
        <v>52</v>
      </c>
      <c r="V19" s="11">
        <v>4</v>
      </c>
      <c r="W19" s="10">
        <v>74</v>
      </c>
      <c r="X19" s="11">
        <v>74</v>
      </c>
    </row>
    <row r="20" spans="1:24" x14ac:dyDescent="0.45">
      <c r="C20" s="74">
        <f>SUM(C3:C19)</f>
        <v>14474</v>
      </c>
      <c r="I20" s="74">
        <f>SUM(I3:I19)</f>
        <v>40537</v>
      </c>
      <c r="O20" s="74">
        <f>SUM(O3:O19)</f>
        <v>7649</v>
      </c>
      <c r="T20" s="74">
        <f>SUM(T3:T19)</f>
        <v>1334</v>
      </c>
      <c r="W20" s="74">
        <f>SUM(W3:W19)</f>
        <v>2098</v>
      </c>
    </row>
  </sheetData>
  <mergeCells count="6">
    <mergeCell ref="W1:X1"/>
    <mergeCell ref="A1:B1"/>
    <mergeCell ref="C1:H1"/>
    <mergeCell ref="I1:N1"/>
    <mergeCell ref="O1:S1"/>
    <mergeCell ref="T1:V1"/>
  </mergeCells>
  <phoneticPr fontId="2" type="noConversion"/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activeCell="E1" sqref="E1"/>
    </sheetView>
  </sheetViews>
  <sheetFormatPr defaultRowHeight="17" x14ac:dyDescent="0.45"/>
  <cols>
    <col min="1" max="1" width="15.08203125" style="2" bestFit="1" customWidth="1"/>
    <col min="2" max="2" width="9" style="2"/>
    <col min="3" max="3" width="16.75" style="3" customWidth="1"/>
    <col min="4" max="4" width="15.83203125" style="3" bestFit="1" customWidth="1"/>
    <col min="5" max="5" width="13" style="3" bestFit="1" customWidth="1"/>
  </cols>
  <sheetData>
    <row r="1" spans="1:5" ht="17.5" thickBot="1" x14ac:dyDescent="0.5">
      <c r="A1" s="43" t="s">
        <v>1</v>
      </c>
      <c r="B1" s="44" t="s">
        <v>0</v>
      </c>
      <c r="C1" s="45" t="s">
        <v>90</v>
      </c>
      <c r="D1" s="46" t="s">
        <v>91</v>
      </c>
      <c r="E1" s="47" t="s">
        <v>92</v>
      </c>
    </row>
    <row r="2" spans="1:5" ht="17.5" thickBot="1" x14ac:dyDescent="0.5">
      <c r="A2" s="88" t="s">
        <v>66</v>
      </c>
      <c r="B2" s="89"/>
      <c r="C2" s="89"/>
      <c r="D2" s="90"/>
      <c r="E2" s="60">
        <v>623</v>
      </c>
    </row>
    <row r="3" spans="1:5" x14ac:dyDescent="0.45">
      <c r="A3" s="34" t="s">
        <v>67</v>
      </c>
      <c r="B3" s="35">
        <v>11</v>
      </c>
      <c r="C3" s="32">
        <v>103</v>
      </c>
      <c r="D3" s="69">
        <v>0.34799999999999998</v>
      </c>
      <c r="E3" s="65">
        <v>13</v>
      </c>
    </row>
    <row r="4" spans="1:5" x14ac:dyDescent="0.45">
      <c r="A4" s="36" t="s">
        <v>68</v>
      </c>
      <c r="B4" s="37">
        <v>26</v>
      </c>
      <c r="C4" s="33">
        <v>152</v>
      </c>
      <c r="D4" s="70">
        <v>0.98</v>
      </c>
      <c r="E4" s="66">
        <v>50</v>
      </c>
    </row>
    <row r="5" spans="1:5" x14ac:dyDescent="0.45">
      <c r="A5" s="36" t="s">
        <v>69</v>
      </c>
      <c r="B5" s="37">
        <v>27</v>
      </c>
      <c r="C5" s="33">
        <v>68</v>
      </c>
      <c r="D5" s="70">
        <v>0.14799999999999999</v>
      </c>
      <c r="E5" s="66">
        <v>6</v>
      </c>
    </row>
    <row r="6" spans="1:5" x14ac:dyDescent="0.45">
      <c r="A6" s="36" t="s">
        <v>70</v>
      </c>
      <c r="B6" s="37">
        <v>28</v>
      </c>
      <c r="C6" s="33">
        <v>57</v>
      </c>
      <c r="D6" s="70">
        <v>0.17300000000000001</v>
      </c>
      <c r="E6" s="66">
        <v>119</v>
      </c>
    </row>
    <row r="7" spans="1:5" x14ac:dyDescent="0.45">
      <c r="A7" s="36" t="s">
        <v>71</v>
      </c>
      <c r="B7" s="37">
        <v>29</v>
      </c>
      <c r="C7" s="33">
        <v>60</v>
      </c>
      <c r="D7" s="70">
        <v>0.17800000000000002</v>
      </c>
      <c r="E7" s="66">
        <v>13</v>
      </c>
    </row>
    <row r="8" spans="1:5" x14ac:dyDescent="0.45">
      <c r="A8" s="36" t="s">
        <v>72</v>
      </c>
      <c r="B8" s="37">
        <v>30</v>
      </c>
      <c r="C8" s="33">
        <v>43</v>
      </c>
      <c r="D8" s="70">
        <v>0.11599999999999999</v>
      </c>
      <c r="E8" s="66">
        <v>54</v>
      </c>
    </row>
    <row r="9" spans="1:5" x14ac:dyDescent="0.45">
      <c r="A9" s="36" t="s">
        <v>73</v>
      </c>
      <c r="B9" s="37">
        <v>31</v>
      </c>
      <c r="C9" s="33">
        <v>37</v>
      </c>
      <c r="D9" s="70">
        <v>0.14800000000000002</v>
      </c>
      <c r="E9" s="66">
        <v>19</v>
      </c>
    </row>
    <row r="10" spans="1:5" x14ac:dyDescent="0.45">
      <c r="A10" s="36" t="s">
        <v>74</v>
      </c>
      <c r="B10" s="37">
        <v>41</v>
      </c>
      <c r="C10" s="33">
        <v>275</v>
      </c>
      <c r="D10" s="70">
        <v>0.14499999999999999</v>
      </c>
      <c r="E10" s="66">
        <v>99</v>
      </c>
    </row>
    <row r="11" spans="1:5" x14ac:dyDescent="0.45">
      <c r="A11" s="36" t="s">
        <v>75</v>
      </c>
      <c r="B11" s="37">
        <v>43</v>
      </c>
      <c r="C11" s="33">
        <v>35</v>
      </c>
      <c r="D11" s="70">
        <v>0.26900000000000002</v>
      </c>
      <c r="E11" s="66">
        <v>31</v>
      </c>
    </row>
    <row r="12" spans="1:5" x14ac:dyDescent="0.45">
      <c r="A12" s="36" t="s">
        <v>76</v>
      </c>
      <c r="B12" s="37">
        <v>44</v>
      </c>
      <c r="C12" s="33">
        <v>63</v>
      </c>
      <c r="D12" s="70">
        <v>0.27399999999999997</v>
      </c>
      <c r="E12" s="66">
        <v>34</v>
      </c>
    </row>
    <row r="13" spans="1:5" x14ac:dyDescent="0.45">
      <c r="A13" s="36" t="s">
        <v>77</v>
      </c>
      <c r="B13" s="37">
        <v>46</v>
      </c>
      <c r="C13" s="33">
        <v>79</v>
      </c>
      <c r="D13" s="70">
        <v>0.32299999999999995</v>
      </c>
      <c r="E13" s="66">
        <v>28</v>
      </c>
    </row>
    <row r="14" spans="1:5" x14ac:dyDescent="0.45">
      <c r="A14" s="36" t="s">
        <v>78</v>
      </c>
      <c r="B14" s="37">
        <v>47</v>
      </c>
      <c r="C14" s="33">
        <v>103</v>
      </c>
      <c r="D14" s="70">
        <v>0.22899999999999998</v>
      </c>
      <c r="E14" s="66">
        <v>39</v>
      </c>
    </row>
    <row r="15" spans="1:5" x14ac:dyDescent="0.45">
      <c r="A15" s="36" t="s">
        <v>79</v>
      </c>
      <c r="B15" s="37">
        <v>48</v>
      </c>
      <c r="C15" s="33">
        <v>114</v>
      </c>
      <c r="D15" s="70">
        <v>0.182</v>
      </c>
      <c r="E15" s="66">
        <v>96</v>
      </c>
    </row>
    <row r="16" spans="1:5" x14ac:dyDescent="0.45">
      <c r="A16" s="36" t="s">
        <v>80</v>
      </c>
      <c r="B16" s="37">
        <v>50</v>
      </c>
      <c r="C16" s="33">
        <v>10</v>
      </c>
      <c r="D16" s="70">
        <v>0.13900000000000001</v>
      </c>
      <c r="E16" s="66">
        <v>1</v>
      </c>
    </row>
    <row r="17" spans="1:5" x14ac:dyDescent="0.45">
      <c r="A17" s="36" t="s">
        <v>81</v>
      </c>
      <c r="B17" s="37">
        <v>36</v>
      </c>
      <c r="C17" s="33">
        <v>3</v>
      </c>
      <c r="D17" s="70">
        <v>0.72499999999999998</v>
      </c>
      <c r="E17" s="66">
        <v>0</v>
      </c>
    </row>
    <row r="18" spans="1:5" x14ac:dyDescent="0.45">
      <c r="A18" s="36" t="s">
        <v>82</v>
      </c>
      <c r="B18" s="37">
        <v>52</v>
      </c>
      <c r="C18" s="33">
        <v>73</v>
      </c>
      <c r="D18" s="70">
        <v>0.128</v>
      </c>
      <c r="E18" s="66">
        <v>16</v>
      </c>
    </row>
    <row r="19" spans="1:5" ht="17.5" thickBot="1" x14ac:dyDescent="0.5">
      <c r="A19" s="38" t="s">
        <v>83</v>
      </c>
      <c r="B19" s="39">
        <v>51</v>
      </c>
      <c r="C19" s="40">
        <v>32</v>
      </c>
      <c r="D19" s="71">
        <v>0.32400000000000001</v>
      </c>
      <c r="E19" s="67">
        <v>5</v>
      </c>
    </row>
  </sheetData>
  <mergeCells count="1">
    <mergeCell ref="A2:D2"/>
  </mergeCells>
  <phoneticPr fontId="2" type="noConversion"/>
  <pageMargins left="0.7" right="0.7" top="0.75" bottom="0.75" header="0.3" footer="0.3"/>
  <pageSetup paperSize="9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>
      <selection activeCell="G26" sqref="G25:G26"/>
    </sheetView>
  </sheetViews>
  <sheetFormatPr defaultColWidth="9" defaultRowHeight="17" x14ac:dyDescent="0.45"/>
  <cols>
    <col min="1" max="1" width="9" style="1"/>
    <col min="2" max="2" width="15.08203125" style="1" bestFit="1" customWidth="1"/>
    <col min="3" max="16384" width="9" style="1"/>
  </cols>
  <sheetData>
    <row r="1" spans="1:2" x14ac:dyDescent="0.45">
      <c r="A1" s="1" t="s">
        <v>0</v>
      </c>
      <c r="B1" s="1" t="s">
        <v>1</v>
      </c>
    </row>
    <row r="2" spans="1:2" x14ac:dyDescent="0.45">
      <c r="A2" s="1">
        <v>11</v>
      </c>
      <c r="B2" s="1" t="s">
        <v>2</v>
      </c>
    </row>
    <row r="3" spans="1:2" x14ac:dyDescent="0.45">
      <c r="A3" s="1">
        <v>26</v>
      </c>
      <c r="B3" s="1" t="s">
        <v>3</v>
      </c>
    </row>
    <row r="4" spans="1:2" x14ac:dyDescent="0.45">
      <c r="A4" s="1">
        <v>27</v>
      </c>
      <c r="B4" s="1" t="s">
        <v>4</v>
      </c>
    </row>
    <row r="5" spans="1:2" x14ac:dyDescent="0.45">
      <c r="A5" s="1">
        <v>28</v>
      </c>
      <c r="B5" s="1" t="s">
        <v>5</v>
      </c>
    </row>
    <row r="6" spans="1:2" x14ac:dyDescent="0.45">
      <c r="A6" s="1">
        <v>29</v>
      </c>
      <c r="B6" s="1" t="s">
        <v>6</v>
      </c>
    </row>
    <row r="7" spans="1:2" x14ac:dyDescent="0.45">
      <c r="A7" s="1">
        <v>30</v>
      </c>
      <c r="B7" s="1" t="s">
        <v>7</v>
      </c>
    </row>
    <row r="8" spans="1:2" x14ac:dyDescent="0.45">
      <c r="A8" s="1">
        <v>31</v>
      </c>
      <c r="B8" s="1" t="s">
        <v>8</v>
      </c>
    </row>
    <row r="9" spans="1:2" x14ac:dyDescent="0.45">
      <c r="A9" s="1">
        <v>41</v>
      </c>
      <c r="B9" s="1" t="s">
        <v>9</v>
      </c>
    </row>
    <row r="10" spans="1:2" x14ac:dyDescent="0.45">
      <c r="A10" s="1">
        <v>43</v>
      </c>
      <c r="B10" s="1" t="s">
        <v>10</v>
      </c>
    </row>
    <row r="11" spans="1:2" x14ac:dyDescent="0.45">
      <c r="A11" s="1">
        <v>44</v>
      </c>
      <c r="B11" s="1" t="s">
        <v>11</v>
      </c>
    </row>
    <row r="12" spans="1:2" x14ac:dyDescent="0.45">
      <c r="A12" s="1">
        <v>46</v>
      </c>
      <c r="B12" s="1" t="s">
        <v>12</v>
      </c>
    </row>
    <row r="13" spans="1:2" x14ac:dyDescent="0.45">
      <c r="A13" s="1">
        <v>47</v>
      </c>
      <c r="B13" s="1" t="s">
        <v>13</v>
      </c>
    </row>
    <row r="14" spans="1:2" x14ac:dyDescent="0.45">
      <c r="A14" s="1">
        <v>48</v>
      </c>
      <c r="B14" s="1" t="s">
        <v>14</v>
      </c>
    </row>
    <row r="15" spans="1:2" x14ac:dyDescent="0.45">
      <c r="A15" s="1">
        <v>50</v>
      </c>
      <c r="B15" s="1" t="s">
        <v>15</v>
      </c>
    </row>
    <row r="16" spans="1:2" x14ac:dyDescent="0.45">
      <c r="A16" s="1">
        <v>36</v>
      </c>
      <c r="B16" s="1" t="s">
        <v>16</v>
      </c>
    </row>
    <row r="17" spans="1:2" x14ac:dyDescent="0.45">
      <c r="A17" s="1">
        <v>52</v>
      </c>
      <c r="B17" s="1" t="s">
        <v>17</v>
      </c>
    </row>
    <row r="18" spans="1:2" x14ac:dyDescent="0.45">
      <c r="A18" s="1">
        <v>51</v>
      </c>
      <c r="B18" s="1" t="s">
        <v>18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A28B-6FAD-4ABF-99A5-ECB209441F98}">
  <dimension ref="A1:B4"/>
  <sheetViews>
    <sheetView tabSelected="1" workbookViewId="0">
      <selection activeCell="B4" sqref="B4"/>
    </sheetView>
  </sheetViews>
  <sheetFormatPr defaultRowHeight="17" x14ac:dyDescent="0.45"/>
  <cols>
    <col min="2" max="2" width="10.75" bestFit="1" customWidth="1"/>
  </cols>
  <sheetData>
    <row r="1" spans="1:2" x14ac:dyDescent="0.45">
      <c r="A1" t="s">
        <v>85</v>
      </c>
      <c r="B1" t="s">
        <v>86</v>
      </c>
    </row>
    <row r="2" spans="1:2" x14ac:dyDescent="0.45">
      <c r="A2">
        <v>0</v>
      </c>
      <c r="B2" s="68">
        <v>46034</v>
      </c>
    </row>
    <row r="3" spans="1:2" x14ac:dyDescent="0.45">
      <c r="A3">
        <v>1</v>
      </c>
      <c r="B3" s="68">
        <v>46022</v>
      </c>
    </row>
    <row r="4" spans="1:2" x14ac:dyDescent="0.45">
      <c r="A4">
        <v>2</v>
      </c>
      <c r="B4" s="68">
        <v>45992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442B-E0BA-4F1C-B058-C0A0CCA15D7B}">
  <dimension ref="A1:V3"/>
  <sheetViews>
    <sheetView workbookViewId="0">
      <selection activeCell="M11" sqref="M11"/>
    </sheetView>
  </sheetViews>
  <sheetFormatPr defaultRowHeight="17" x14ac:dyDescent="0.45"/>
  <cols>
    <col min="22" max="22" width="7.83203125" bestFit="1" customWidth="1"/>
  </cols>
  <sheetData>
    <row r="1" spans="1:22" x14ac:dyDescent="0.45">
      <c r="A1" s="91" t="s">
        <v>21</v>
      </c>
      <c r="B1" s="91"/>
      <c r="C1" s="91"/>
      <c r="D1" s="91"/>
      <c r="E1" s="91"/>
      <c r="F1" s="91"/>
      <c r="G1" s="92" t="s">
        <v>22</v>
      </c>
      <c r="H1" s="93"/>
      <c r="I1" s="93"/>
      <c r="J1" s="93"/>
      <c r="K1" s="93"/>
      <c r="L1" s="94"/>
      <c r="M1" s="92" t="s">
        <v>23</v>
      </c>
      <c r="N1" s="93"/>
      <c r="O1" s="93"/>
      <c r="P1" s="93"/>
      <c r="Q1" s="94"/>
      <c r="R1" s="92" t="s">
        <v>24</v>
      </c>
      <c r="S1" s="93"/>
      <c r="T1" s="94"/>
      <c r="U1" s="91" t="s">
        <v>25</v>
      </c>
      <c r="V1" s="91"/>
    </row>
    <row r="2" spans="1:22" x14ac:dyDescent="0.45">
      <c r="A2" s="73" t="s">
        <v>26</v>
      </c>
      <c r="B2" s="73" t="s">
        <v>27</v>
      </c>
      <c r="C2" s="73" t="s">
        <v>28</v>
      </c>
      <c r="D2" s="73" t="s">
        <v>29</v>
      </c>
      <c r="E2" s="73" t="s">
        <v>30</v>
      </c>
      <c r="F2" s="73" t="s">
        <v>31</v>
      </c>
      <c r="G2" s="73" t="s">
        <v>26</v>
      </c>
      <c r="H2" s="73" t="s">
        <v>32</v>
      </c>
      <c r="I2" s="73" t="s">
        <v>28</v>
      </c>
      <c r="J2" s="73" t="s">
        <v>33</v>
      </c>
      <c r="K2" s="73" t="s">
        <v>34</v>
      </c>
      <c r="L2" s="73" t="s">
        <v>35</v>
      </c>
      <c r="M2" s="73" t="s">
        <v>26</v>
      </c>
      <c r="N2" s="73" t="s">
        <v>36</v>
      </c>
      <c r="O2" s="73" t="s">
        <v>37</v>
      </c>
      <c r="P2" s="73" t="s">
        <v>38</v>
      </c>
      <c r="Q2" s="73" t="s">
        <v>31</v>
      </c>
      <c r="R2" s="73" t="s">
        <v>26</v>
      </c>
      <c r="S2" s="73" t="s">
        <v>39</v>
      </c>
      <c r="T2" s="73" t="s">
        <v>40</v>
      </c>
      <c r="U2" s="73" t="s">
        <v>26</v>
      </c>
      <c r="V2" s="73" t="s">
        <v>31</v>
      </c>
    </row>
    <row r="3" spans="1:22" x14ac:dyDescent="0.45">
      <c r="A3" s="72">
        <v>14474</v>
      </c>
      <c r="B3" s="72">
        <v>4046</v>
      </c>
      <c r="C3" s="72">
        <v>255</v>
      </c>
      <c r="D3" s="72">
        <v>231</v>
      </c>
      <c r="E3" s="72">
        <v>9035</v>
      </c>
      <c r="F3" s="72">
        <v>907</v>
      </c>
      <c r="G3" s="72">
        <v>40537</v>
      </c>
      <c r="H3" s="72">
        <v>19719</v>
      </c>
      <c r="I3" s="72">
        <v>915</v>
      </c>
      <c r="J3" s="72">
        <v>11498</v>
      </c>
      <c r="K3" s="72">
        <v>5606</v>
      </c>
      <c r="L3" s="72">
        <v>2799</v>
      </c>
      <c r="M3" s="72">
        <v>7649</v>
      </c>
      <c r="N3" s="72">
        <v>1643</v>
      </c>
      <c r="O3" s="72">
        <v>1688</v>
      </c>
      <c r="P3" s="72">
        <v>1656</v>
      </c>
      <c r="Q3" s="72">
        <v>2662</v>
      </c>
      <c r="R3" s="72">
        <v>1334</v>
      </c>
      <c r="S3" s="72">
        <v>1094</v>
      </c>
      <c r="T3" s="72">
        <v>240</v>
      </c>
      <c r="U3" s="72">
        <v>2098</v>
      </c>
      <c r="V3" s="72">
        <v>2098</v>
      </c>
    </row>
  </sheetData>
  <mergeCells count="5">
    <mergeCell ref="U1:V1"/>
    <mergeCell ref="A1:F1"/>
    <mergeCell ref="G1:L1"/>
    <mergeCell ref="M1:Q1"/>
    <mergeCell ref="R1:T1"/>
  </mergeCells>
  <phoneticPr fontId="2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1. 신청 및 연계 현황</vt:lpstr>
      <vt:lpstr>2. 자원 현황</vt:lpstr>
      <vt:lpstr>3. 퇴원환자 지원 현황</vt:lpstr>
      <vt:lpstr>4. 시도코드</vt:lpstr>
      <vt:lpstr>5. 발췌일자</vt:lpstr>
      <vt:lpstr>6. 자원 현황 합계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헌희 정</cp:lastModifiedBy>
  <dcterms:created xsi:type="dcterms:W3CDTF">2026-01-14T05:25:59Z</dcterms:created>
  <dcterms:modified xsi:type="dcterms:W3CDTF">2026-01-29T05:43:51Z</dcterms:modified>
</cp:coreProperties>
</file>